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 Log" sheetId="1" state="visible" r:id="rId3"/>
    <sheet name="Summary" sheetId="2" state="visible" r:id="rId4"/>
    <sheet name="Categor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<sst xmlns="http://schemas.openxmlformats.org/spreadsheetml/2006/main" count="132" uniqueCount="54">
  <si>
    <t xml:space="preserve">Business Activity Time Tracker</t>
  </si>
  <si>
    <t xml:space="preserve">2-Week Log — 8/10/2026 through 8/23/2026</t>
  </si>
  <si>
    <t xml:space="preserve">How to use: log one row per activity block. Date, Category, and Subcategory are dropdowns — click the cell and pick from the list. Duration is in minutes; Duration (hrs) fills in automatically. Row 7 is a filled-in example — overwrite or delete it. Yellow cells are where you type or choose a value.</t>
  </si>
  <si>
    <t xml:space="preserve">Date</t>
  </si>
  <si>
    <t xml:space="preserve">Category</t>
  </si>
  <si>
    <t xml:space="preserve">Subcategory</t>
  </si>
  <si>
    <t xml:space="preserve">Duration (min)</t>
  </si>
  <si>
    <t xml:space="preserve">Duration (hrs)</t>
  </si>
  <si>
    <t xml:space="preserve">Notes</t>
  </si>
  <si>
    <t xml:space="preserve">Marketing</t>
  </si>
  <si>
    <t xml:space="preserve">LinkedIn – Draft/Edit/Post (Marketing)</t>
  </si>
  <si>
    <t xml:space="preserve">EXAMPLE (duration left blank on purpose, so it's excluded from your totals) — Drafted Monday LinkedIn post, ~30 min.</t>
  </si>
  <si>
    <t xml:space="preserve">Email – Draft/Edit/Send Setup (Marketing)</t>
  </si>
  <si>
    <t xml:space="preserve">Marketing email work</t>
  </si>
  <si>
    <t xml:space="preserve">Business Development</t>
  </si>
  <si>
    <t xml:space="preserve">AI/OS Development (Business Development)</t>
  </si>
  <si>
    <t xml:space="preserve">Building/maintaining the Synnovatia AIOS Claude workspace</t>
  </si>
  <si>
    <t xml:space="preserve">Client Outreach (Marketing)</t>
  </si>
  <si>
    <t xml:space="preserve">Client outreach — reviewed and sent the Carrie re-engagement reply</t>
  </si>
  <si>
    <t xml:space="preserve">Scheduled the 3 LinkedIn drafts (8/17-8/21 batch) via LinkedIn's own scheduler</t>
  </si>
  <si>
    <t xml:space="preserve">Time Tracking Summary</t>
  </si>
  <si>
    <t xml:space="preserve">Formulas pull live from the Time Log tab — nothing here needs to be typed by hand.</t>
  </si>
  <si>
    <t xml:space="preserve">Project Start Date</t>
  </si>
  <si>
    <t xml:space="preserve">Project End Date (14 days)</t>
  </si>
  <si>
    <t xml:space="preserve">Today</t>
  </si>
  <si>
    <t xml:space="preserve">Days Remaining</t>
  </si>
  <si>
    <t xml:space="preserve">Hours by Category</t>
  </si>
  <si>
    <t xml:space="preserve">Hours by Day</t>
  </si>
  <si>
    <t xml:space="preserve">Total Hours</t>
  </si>
  <si>
    <t xml:space="preserve">Sales</t>
  </si>
  <si>
    <t xml:space="preserve">Client Work</t>
  </si>
  <si>
    <t xml:space="preserve">Bookkeeping</t>
  </si>
  <si>
    <t xml:space="preserve">Mastermind Admin/Delivery</t>
  </si>
  <si>
    <t xml:space="preserve">LinkedIn Outreach/Prospecting</t>
  </si>
  <si>
    <t xml:space="preserve">Total</t>
  </si>
  <si>
    <t xml:space="preserve">Hours by Subcategory</t>
  </si>
  <si>
    <t xml:space="preserve">Parent Category</t>
  </si>
  <si>
    <t xml:space="preserve">Email – Reviewing Metrics (Marketing)</t>
  </si>
  <si>
    <t xml:space="preserve">LinkedIn – Tracking Metrics (Marketing)</t>
  </si>
  <si>
    <t xml:space="preserve">Sales Meetings (Sales)</t>
  </si>
  <si>
    <t xml:space="preserve">Proposals (Sales)</t>
  </si>
  <si>
    <t xml:space="preserve">Follow-Up (Sales)</t>
  </si>
  <si>
    <t xml:space="preserve">Client Work – Paid</t>
  </si>
  <si>
    <t xml:space="preserve">Client Work – Unpaid</t>
  </si>
  <si>
    <t xml:space="preserve">Reconciliation (Bookkeeping)</t>
  </si>
  <si>
    <t xml:space="preserve">Bill Paying (Bookkeeping)</t>
  </si>
  <si>
    <t xml:space="preserve">Invoicing (Bookkeeping)</t>
  </si>
  <si>
    <t xml:space="preserve">Hot-Topics Email (Mastermind)</t>
  </si>
  <si>
    <t xml:space="preserve">Agenda Day / Facilitation (Mastermind)</t>
  </si>
  <si>
    <t xml:space="preserve">Prospecting/Connection Requests (LinkedIn Outreach)</t>
  </si>
  <si>
    <t xml:space="preserve">Follow-Up Messages (LinkedIn Outreach)</t>
  </si>
  <si>
    <t xml:space="preserve">Categories &amp; Subcategories (reference)</t>
  </si>
  <si>
    <t xml:space="preserve">This sheet feeds the dropdowns on the Time Log tab. Edit these lists if your categories change.</t>
  </si>
  <si>
    <t xml:space="preserve">Parent Category (for Subcategory)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</si>
</sst>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"/>
    <numFmt numFmtId="167" formatCode="0.00"/>
    <numFmt numFmtId="168" formatCode="m/d/yyyy&quot; (&quot;ddd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1A3A7A"/>
      <name val="Arial"/>
      <family val="0"/>
      <charset val="1"/>
    </font>
    <font>
      <i val="true"/>
      <sz val="10"/>
      <color rgb="FF44444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1A3A7A"/>
      <name val="Arial"/>
      <family val="0"/>
      <charset val="1"/>
    </font>
    <font>
      <b val="true"/>
      <sz val="10"/>
      <color rgb="FF44444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F6E5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1F4E"/>
        <bgColor rgb="FF1A3A7A"/>
      </patternFill>
    </fill>
    <fill>
      <patternFill patternType="solid">
        <fgColor rgb="FFE8ECF5"/>
        <bgColor rgb="FFF9F9F9"/>
      </patternFill>
    </fill>
    <fill>
      <patternFill patternType="solid">
        <fgColor rgb="FF1A3A7A"/>
        <bgColor rgb="FF333399"/>
      </patternFill>
    </fill>
    <fill>
      <patternFill patternType="solid">
        <fgColor rgb="FFFDF3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F4E"/>
      <rgbColor rgb="FF808000"/>
      <rgbColor rgb="FF800080"/>
      <rgbColor rgb="FF0F6E56"/>
      <rgbColor rgb="FFCCCCCC"/>
      <rgbColor rgb="FF878787"/>
      <rgbColor rgb="FF9999FF"/>
      <rgbColor rgb="FF993366"/>
      <rgbColor rgb="FFFDF3CC"/>
      <rgbColor rgb="FFE8EC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A3A7A"/>
      <rgbColor rgb="FF339966"/>
      <rgbColor rgb="FF003300"/>
      <rgbColor rgb="FF333300"/>
      <rgbColor rgb="FF993300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Hours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Summary!B10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Summary!$A$11:$A$17</c:f>
              <c:strCache>
                <c:ptCount val="7"/>
                <c:pt idx="0">
                  <c:v>Marketing</c:v>
                </c:pt>
                <c:pt idx="1">
                  <c:v>Sales</c:v>
                </c:pt>
                <c:pt idx="2">
                  <c:v>Client Work</c:v>
                </c:pt>
                <c:pt idx="3">
                  <c:v>Bookkeeping</c:v>
                </c:pt>
                <c:pt idx="4">
                  <c:v>Mastermind Admin/Delivery</c:v>
                </c:pt>
                <c:pt idx="5">
                  <c:v>LinkedIn Outreach/Prospecting</c:v>
                </c:pt>
                <c:pt idx="6">
                  <c:v>Business Development</c:v>
                </c:pt>
              </c:strCache>
            </c:strRef>
          </c:cat>
          <c:val>
            <c:numRef>
              <c:f>Summary!$B$11:$B$17</c:f>
              <c:numCache>
                <c:formatCode>0.00</c:formatCode>
                <c:ptCount val="7"/>
                <c:pt idx="0">
                  <c:v>1.08333333333333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90249389"/>
        <c:axId val="8376640"/>
      </c:barChart>
      <c:catAx>
        <c:axId val="902493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76640"/>
        <c:crosses val="autoZero"/>
        <c:auto val="1"/>
        <c:lblAlgn val="ctr"/>
        <c:lblOffset val="100"/>
        <c:noMultiLvlLbl val="0"/>
      </c:catAx>
      <c:valAx>
        <c:axId val="8376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2493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25</xdr:row>
      <xdr:rowOff>0</xdr:rowOff>
    </xdr:from>
    <xdr:to>
      <xdr:col>11</xdr:col>
      <xdr:colOff>305640</xdr:colOff>
      <xdr:row>40</xdr:row>
      <xdr:rowOff>22320</xdr:rowOff>
    </xdr:to>
    <xdr:graphicFrame>
      <xdr:nvGraphicFramePr>
        <xdr:cNvPr id="1" name="Chart 1"/>
        <xdr:cNvGraphicFramePr/>
      </xdr:nvGraphicFramePr>
      <xdr:xfrm>
        <a:off x="6673320" y="4963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5" min="4" style="0" width="15"/>
    <col collapsed="false" customWidth="true" hidden="false" outlineLevel="0" max="6" min="6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customFormat="false" ht="15" hidden="false" customHeight="false" outlineLevel="0" collapsed="false">
      <c r="A7" s="5" t="n">
        <v>46244</v>
      </c>
      <c r="B7" s="6" t="s">
        <v>9</v>
      </c>
      <c r="C7" s="6" t="s">
        <v>10</v>
      </c>
      <c r="D7" s="7"/>
      <c r="E7" s="8" t="str">
        <f aca="false">IF(D7="","",D7/60)</f>
        <v/>
      </c>
      <c r="F7" s="6" t="s">
        <v>11</v>
      </c>
    </row>
    <row r="8" customFormat="false" ht="15" hidden="false" customHeight="false" outlineLevel="0" collapsed="false">
      <c r="A8" s="9" t="n">
        <v>46244</v>
      </c>
      <c r="B8" s="10" t="s">
        <v>9</v>
      </c>
      <c r="C8" s="10" t="s">
        <v>12</v>
      </c>
      <c r="D8" s="11" t="n">
        <v>45</v>
      </c>
      <c r="E8" s="12" t="n">
        <f aca="false">IF(D8="","",D8/60)</f>
        <v>0.75</v>
      </c>
      <c r="F8" s="10" t="s">
        <v>13</v>
      </c>
    </row>
    <row r="9" customFormat="false" ht="15" hidden="false" customHeight="false" outlineLevel="0" collapsed="false">
      <c r="A9" s="9" t="n">
        <v>46244</v>
      </c>
      <c r="B9" s="10" t="s">
        <v>14</v>
      </c>
      <c r="C9" s="10" t="s">
        <v>15</v>
      </c>
      <c r="D9" s="11" t="n">
        <v>60</v>
      </c>
      <c r="E9" s="12" t="n">
        <f aca="false">IF(D9="","",D9/60)</f>
        <v>1</v>
      </c>
      <c r="F9" s="10" t="s">
        <v>16</v>
      </c>
    </row>
    <row r="10" customFormat="false" ht="15" hidden="false" customHeight="false" outlineLevel="0" collapsed="false">
      <c r="A10" s="9" t="n">
        <v>46244</v>
      </c>
      <c r="B10" s="10" t="s">
        <v>9</v>
      </c>
      <c r="C10" s="10" t="s">
        <v>17</v>
      </c>
      <c r="D10" s="11" t="n">
        <v>15</v>
      </c>
      <c r="E10" s="12" t="n">
        <f aca="false">IF(D10="","",D10/60)</f>
        <v>0.25</v>
      </c>
      <c r="F10" s="10" t="s">
        <v>18</v>
      </c>
    </row>
    <row r="11" customFormat="false" ht="15" hidden="false" customHeight="false" outlineLevel="0" collapsed="false">
      <c r="A11" s="9" t="n">
        <v>46244</v>
      </c>
      <c r="B11" s="10" t="s">
        <v>9</v>
      </c>
      <c r="C11" s="10" t="s">
        <v>10</v>
      </c>
      <c r="D11" s="11" t="n">
        <v>5</v>
      </c>
      <c r="E11" s="12" t="n">
        <f aca="false">IF(D11="","",D11/60)</f>
        <v>0.0833333333333333</v>
      </c>
      <c r="F11" s="10" t="s">
        <v>19</v>
      </c>
    </row>
    <row r="12" customFormat="false" ht="15" hidden="false" customHeight="false" outlineLevel="0" collapsed="false">
      <c r="A12" s="9"/>
      <c r="B12" s="10"/>
      <c r="C12" s="10"/>
      <c r="D12" s="11"/>
      <c r="E12" s="12" t="str">
        <f aca="false">IF(D12="","",D12/60)</f>
        <v/>
      </c>
      <c r="F12" s="10"/>
    </row>
    <row r="13" customFormat="false" ht="15" hidden="false" customHeight="false" outlineLevel="0" collapsed="false">
      <c r="A13" s="9"/>
      <c r="B13" s="10"/>
      <c r="C13" s="10"/>
      <c r="D13" s="11"/>
      <c r="E13" s="12" t="str">
        <f aca="false">IF(D13="","",D13/60)</f>
        <v/>
      </c>
      <c r="F13" s="10"/>
    </row>
    <row r="14" customFormat="false" ht="15" hidden="false" customHeight="false" outlineLevel="0" collapsed="false">
      <c r="A14" s="9"/>
      <c r="B14" s="10"/>
      <c r="C14" s="10"/>
      <c r="D14" s="11"/>
      <c r="E14" s="12" t="str">
        <f aca="false">IF(D14="","",D14/60)</f>
        <v/>
      </c>
      <c r="F14" s="10"/>
    </row>
    <row r="15" customFormat="false" ht="15" hidden="false" customHeight="false" outlineLevel="0" collapsed="false">
      <c r="A15" s="9"/>
      <c r="B15" s="10"/>
      <c r="C15" s="10"/>
      <c r="D15" s="11"/>
      <c r="E15" s="12" t="str">
        <f aca="false">IF(D15="","",D15/60)</f>
        <v/>
      </c>
      <c r="F15" s="10"/>
    </row>
    <row r="16" customFormat="false" ht="15" hidden="false" customHeight="false" outlineLevel="0" collapsed="false">
      <c r="A16" s="9"/>
      <c r="B16" s="10"/>
      <c r="C16" s="10"/>
      <c r="D16" s="11"/>
      <c r="E16" s="12" t="str">
        <f aca="false">IF(D16="","",D16/60)</f>
        <v/>
      </c>
      <c r="F16" s="10"/>
    </row>
    <row r="17" customFormat="false" ht="15" hidden="false" customHeight="false" outlineLevel="0" collapsed="false">
      <c r="A17" s="9"/>
      <c r="B17" s="10"/>
      <c r="C17" s="10"/>
      <c r="D17" s="11"/>
      <c r="E17" s="12" t="str">
        <f aca="false">IF(D17="","",D17/60)</f>
        <v/>
      </c>
      <c r="F17" s="10"/>
    </row>
    <row r="18" customFormat="false" ht="15" hidden="false" customHeight="false" outlineLevel="0" collapsed="false">
      <c r="A18" s="9"/>
      <c r="B18" s="10"/>
      <c r="C18" s="10"/>
      <c r="D18" s="11"/>
      <c r="E18" s="12" t="str">
        <f aca="false">IF(D18="","",D18/60)</f>
        <v/>
      </c>
      <c r="F18" s="10"/>
    </row>
    <row r="19" customFormat="false" ht="15" hidden="false" customHeight="false" outlineLevel="0" collapsed="false">
      <c r="A19" s="9"/>
      <c r="B19" s="10"/>
      <c r="C19" s="10"/>
      <c r="D19" s="11"/>
      <c r="E19" s="12" t="str">
        <f aca="false">IF(D19="","",D19/60)</f>
        <v/>
      </c>
      <c r="F19" s="10"/>
    </row>
    <row r="20" customFormat="false" ht="15" hidden="false" customHeight="false" outlineLevel="0" collapsed="false">
      <c r="A20" s="9"/>
      <c r="B20" s="10"/>
      <c r="C20" s="10"/>
      <c r="D20" s="11"/>
      <c r="E20" s="12" t="str">
        <f aca="false">IF(D20="","",D20/60)</f>
        <v/>
      </c>
      <c r="F20" s="10"/>
    </row>
    <row r="21" customFormat="false" ht="15" hidden="false" customHeight="false" outlineLevel="0" collapsed="false">
      <c r="A21" s="9"/>
      <c r="B21" s="10"/>
      <c r="C21" s="10"/>
      <c r="D21" s="11"/>
      <c r="E21" s="12" t="str">
        <f aca="false">IF(D21="","",D21/60)</f>
        <v/>
      </c>
      <c r="F21" s="10"/>
    </row>
    <row r="22" customFormat="false" ht="15" hidden="false" customHeight="false" outlineLevel="0" collapsed="false">
      <c r="A22" s="9"/>
      <c r="B22" s="10"/>
      <c r="C22" s="10"/>
      <c r="D22" s="11"/>
      <c r="E22" s="12" t="str">
        <f aca="false">IF(D22="","",D22/60)</f>
        <v/>
      </c>
      <c r="F22" s="10"/>
    </row>
    <row r="23" customFormat="false" ht="15" hidden="false" customHeight="false" outlineLevel="0" collapsed="false">
      <c r="A23" s="9"/>
      <c r="B23" s="10"/>
      <c r="C23" s="10"/>
      <c r="D23" s="11"/>
      <c r="E23" s="12" t="str">
        <f aca="false">IF(D23="","",D23/60)</f>
        <v/>
      </c>
      <c r="F23" s="10"/>
    </row>
    <row r="24" customFormat="false" ht="15" hidden="false" customHeight="false" outlineLevel="0" collapsed="false">
      <c r="A24" s="9"/>
      <c r="B24" s="10"/>
      <c r="C24" s="10"/>
      <c r="D24" s="11"/>
      <c r="E24" s="12" t="str">
        <f aca="false">IF(D24="","",D24/60)</f>
        <v/>
      </c>
      <c r="F24" s="10"/>
    </row>
    <row r="25" customFormat="false" ht="15" hidden="false" customHeight="false" outlineLevel="0" collapsed="false">
      <c r="A25" s="9"/>
      <c r="B25" s="10"/>
      <c r="C25" s="10"/>
      <c r="D25" s="11"/>
      <c r="E25" s="12" t="str">
        <f aca="false">IF(D25="","",D25/60)</f>
        <v/>
      </c>
      <c r="F25" s="10"/>
    </row>
    <row r="26" customFormat="false" ht="15" hidden="false" customHeight="false" outlineLevel="0" collapsed="false">
      <c r="A26" s="9"/>
      <c r="B26" s="10"/>
      <c r="C26" s="10"/>
      <c r="D26" s="11"/>
      <c r="E26" s="12" t="str">
        <f aca="false">IF(D26="","",D26/60)</f>
        <v/>
      </c>
      <c r="F26" s="10"/>
    </row>
    <row r="27" customFormat="false" ht="15" hidden="false" customHeight="false" outlineLevel="0" collapsed="false">
      <c r="A27" s="9"/>
      <c r="B27" s="10"/>
      <c r="C27" s="10"/>
      <c r="D27" s="11"/>
      <c r="E27" s="12" t="str">
        <f aca="false">IF(D27="","",D27/60)</f>
        <v/>
      </c>
      <c r="F27" s="10"/>
    </row>
    <row r="28" customFormat="false" ht="15" hidden="false" customHeight="false" outlineLevel="0" collapsed="false">
      <c r="A28" s="9"/>
      <c r="B28" s="10"/>
      <c r="C28" s="10"/>
      <c r="D28" s="11"/>
      <c r="E28" s="12" t="str">
        <f aca="false">IF(D28="","",D28/60)</f>
        <v/>
      </c>
      <c r="F28" s="10"/>
    </row>
    <row r="29" customFormat="false" ht="15" hidden="false" customHeight="false" outlineLevel="0" collapsed="false">
      <c r="A29" s="9"/>
      <c r="B29" s="10"/>
      <c r="C29" s="10"/>
      <c r="D29" s="11"/>
      <c r="E29" s="12" t="str">
        <f aca="false">IF(D29="","",D29/60)</f>
        <v/>
      </c>
      <c r="F29" s="10"/>
    </row>
    <row r="30" customFormat="false" ht="15" hidden="false" customHeight="false" outlineLevel="0" collapsed="false">
      <c r="A30" s="9"/>
      <c r="B30" s="10"/>
      <c r="C30" s="10"/>
      <c r="D30" s="11"/>
      <c r="E30" s="12" t="str">
        <f aca="false">IF(D30="","",D30/60)</f>
        <v/>
      </c>
      <c r="F30" s="10"/>
    </row>
    <row r="31" customFormat="false" ht="15" hidden="false" customHeight="false" outlineLevel="0" collapsed="false">
      <c r="A31" s="9"/>
      <c r="B31" s="10"/>
      <c r="C31" s="10"/>
      <c r="D31" s="11"/>
      <c r="E31" s="12" t="str">
        <f aca="false">IF(D31="","",D31/60)</f>
        <v/>
      </c>
      <c r="F31" s="10"/>
    </row>
    <row r="32" customFormat="false" ht="15" hidden="false" customHeight="false" outlineLevel="0" collapsed="false">
      <c r="A32" s="9"/>
      <c r="B32" s="10"/>
      <c r="C32" s="10"/>
      <c r="D32" s="11"/>
      <c r="E32" s="12" t="str">
        <f aca="false">IF(D32="","",D32/60)</f>
        <v/>
      </c>
      <c r="F32" s="10"/>
    </row>
    <row r="33" customFormat="false" ht="15" hidden="false" customHeight="false" outlineLevel="0" collapsed="false">
      <c r="A33" s="9"/>
      <c r="B33" s="10"/>
      <c r="C33" s="10"/>
      <c r="D33" s="11"/>
      <c r="E33" s="12" t="str">
        <f aca="false">IF(D33="","",D33/60)</f>
        <v/>
      </c>
      <c r="F33" s="10"/>
    </row>
    <row r="34" customFormat="false" ht="15" hidden="false" customHeight="false" outlineLevel="0" collapsed="false">
      <c r="A34" s="9"/>
      <c r="B34" s="10"/>
      <c r="C34" s="10"/>
      <c r="D34" s="11"/>
      <c r="E34" s="12" t="str">
        <f aca="false">IF(D34="","",D34/60)</f>
        <v/>
      </c>
      <c r="F34" s="10"/>
    </row>
    <row r="35" customFormat="false" ht="15" hidden="false" customHeight="false" outlineLevel="0" collapsed="false">
      <c r="A35" s="9"/>
      <c r="B35" s="10"/>
      <c r="C35" s="10"/>
      <c r="D35" s="11"/>
      <c r="E35" s="12" t="str">
        <f aca="false">IF(D35="","",D35/60)</f>
        <v/>
      </c>
      <c r="F35" s="10"/>
    </row>
    <row r="36" customFormat="false" ht="15" hidden="false" customHeight="false" outlineLevel="0" collapsed="false">
      <c r="A36" s="9"/>
      <c r="B36" s="10"/>
      <c r="C36" s="10"/>
      <c r="D36" s="11"/>
      <c r="E36" s="12" t="str">
        <f aca="false">IF(D36="","",D36/60)</f>
        <v/>
      </c>
      <c r="F36" s="10"/>
    </row>
    <row r="37" customFormat="false" ht="15" hidden="false" customHeight="false" outlineLevel="0" collapsed="false">
      <c r="A37" s="9"/>
      <c r="B37" s="10"/>
      <c r="C37" s="10"/>
      <c r="D37" s="11"/>
      <c r="E37" s="12" t="str">
        <f aca="false">IF(D37="","",D37/60)</f>
        <v/>
      </c>
      <c r="F37" s="10"/>
    </row>
    <row r="38" customFormat="false" ht="15" hidden="false" customHeight="false" outlineLevel="0" collapsed="false">
      <c r="A38" s="9"/>
      <c r="B38" s="10"/>
      <c r="C38" s="10"/>
      <c r="D38" s="11"/>
      <c r="E38" s="12" t="str">
        <f aca="false">IF(D38="","",D38/60)</f>
        <v/>
      </c>
      <c r="F38" s="10"/>
    </row>
    <row r="39" customFormat="false" ht="15" hidden="false" customHeight="false" outlineLevel="0" collapsed="false">
      <c r="A39" s="9"/>
      <c r="B39" s="10"/>
      <c r="C39" s="10"/>
      <c r="D39" s="11"/>
      <c r="E39" s="12" t="str">
        <f aca="false">IF(D39="","",D39/60)</f>
        <v/>
      </c>
      <c r="F39" s="10"/>
    </row>
    <row r="40" customFormat="false" ht="15" hidden="false" customHeight="false" outlineLevel="0" collapsed="false">
      <c r="A40" s="9"/>
      <c r="B40" s="10"/>
      <c r="C40" s="10"/>
      <c r="D40" s="11"/>
      <c r="E40" s="12" t="str">
        <f aca="false">IF(D40="","",D40/60)</f>
        <v/>
      </c>
      <c r="F40" s="10"/>
    </row>
    <row r="41" customFormat="false" ht="15" hidden="false" customHeight="false" outlineLevel="0" collapsed="false">
      <c r="A41" s="9"/>
      <c r="B41" s="10"/>
      <c r="C41" s="10"/>
      <c r="D41" s="11"/>
      <c r="E41" s="12" t="str">
        <f aca="false">IF(D41="","",D41/60)</f>
        <v/>
      </c>
      <c r="F41" s="10"/>
    </row>
    <row r="42" customFormat="false" ht="15" hidden="false" customHeight="false" outlineLevel="0" collapsed="false">
      <c r="A42" s="9"/>
      <c r="B42" s="10"/>
      <c r="C42" s="10"/>
      <c r="D42" s="11"/>
      <c r="E42" s="12" t="str">
        <f aca="false">IF(D42="","",D42/60)</f>
        <v/>
      </c>
      <c r="F42" s="10"/>
    </row>
    <row r="43" customFormat="false" ht="15" hidden="false" customHeight="false" outlineLevel="0" collapsed="false">
      <c r="A43" s="9"/>
      <c r="B43" s="10"/>
      <c r="C43" s="10"/>
      <c r="D43" s="11"/>
      <c r="E43" s="12" t="str">
        <f aca="false">IF(D43="","",D43/60)</f>
        <v/>
      </c>
      <c r="F43" s="10"/>
    </row>
    <row r="44" customFormat="false" ht="15" hidden="false" customHeight="false" outlineLevel="0" collapsed="false">
      <c r="A44" s="9"/>
      <c r="B44" s="10"/>
      <c r="C44" s="10"/>
      <c r="D44" s="11"/>
      <c r="E44" s="12" t="str">
        <f aca="false">IF(D44="","",D44/60)</f>
        <v/>
      </c>
      <c r="F44" s="10"/>
    </row>
    <row r="45" customFormat="false" ht="15" hidden="false" customHeight="false" outlineLevel="0" collapsed="false">
      <c r="A45" s="9"/>
      <c r="B45" s="10"/>
      <c r="C45" s="10"/>
      <c r="D45" s="11"/>
      <c r="E45" s="12" t="str">
        <f aca="false">IF(D45="","",D45/60)</f>
        <v/>
      </c>
      <c r="F45" s="10"/>
    </row>
    <row r="46" customFormat="false" ht="15" hidden="false" customHeight="false" outlineLevel="0" collapsed="false">
      <c r="A46" s="9"/>
      <c r="B46" s="10"/>
      <c r="C46" s="10"/>
      <c r="D46" s="11"/>
      <c r="E46" s="12" t="str">
        <f aca="false">IF(D46="","",D46/60)</f>
        <v/>
      </c>
      <c r="F46" s="10"/>
    </row>
    <row r="47" customFormat="false" ht="15" hidden="false" customHeight="false" outlineLevel="0" collapsed="false">
      <c r="A47" s="9"/>
      <c r="B47" s="10"/>
      <c r="C47" s="10"/>
      <c r="D47" s="11"/>
      <c r="E47" s="12" t="str">
        <f aca="false">IF(D47="","",D47/60)</f>
        <v/>
      </c>
      <c r="F47" s="10"/>
    </row>
    <row r="48" customFormat="false" ht="15" hidden="false" customHeight="false" outlineLevel="0" collapsed="false">
      <c r="A48" s="9"/>
      <c r="B48" s="10"/>
      <c r="C48" s="10"/>
      <c r="D48" s="11"/>
      <c r="E48" s="12" t="str">
        <f aca="false">IF(D48="","",D48/60)</f>
        <v/>
      </c>
      <c r="F48" s="10"/>
    </row>
    <row r="49" customFormat="false" ht="15" hidden="false" customHeight="false" outlineLevel="0" collapsed="false">
      <c r="A49" s="9"/>
      <c r="B49" s="10"/>
      <c r="C49" s="10"/>
      <c r="D49" s="11"/>
      <c r="E49" s="12" t="str">
        <f aca="false">IF(D49="","",D49/60)</f>
        <v/>
      </c>
      <c r="F49" s="10"/>
    </row>
    <row r="50" customFormat="false" ht="15" hidden="false" customHeight="false" outlineLevel="0" collapsed="false">
      <c r="A50" s="9"/>
      <c r="B50" s="10"/>
      <c r="C50" s="10"/>
      <c r="D50" s="11"/>
      <c r="E50" s="12" t="str">
        <f aca="false">IF(D50="","",D50/60)</f>
        <v/>
      </c>
      <c r="F50" s="10"/>
    </row>
    <row r="51" customFormat="false" ht="15" hidden="false" customHeight="false" outlineLevel="0" collapsed="false">
      <c r="A51" s="9"/>
      <c r="B51" s="10"/>
      <c r="C51" s="10"/>
      <c r="D51" s="11"/>
      <c r="E51" s="12" t="str">
        <f aca="false">IF(D51="","",D51/60)</f>
        <v/>
      </c>
      <c r="F51" s="10"/>
    </row>
    <row r="52" customFormat="false" ht="15" hidden="false" customHeight="false" outlineLevel="0" collapsed="false">
      <c r="A52" s="9"/>
      <c r="B52" s="10"/>
      <c r="C52" s="10"/>
      <c r="D52" s="11"/>
      <c r="E52" s="12" t="str">
        <f aca="false">IF(D52="","",D52/60)</f>
        <v/>
      </c>
      <c r="F52" s="10"/>
    </row>
    <row r="53" customFormat="false" ht="15" hidden="false" customHeight="false" outlineLevel="0" collapsed="false">
      <c r="A53" s="9"/>
      <c r="B53" s="10"/>
      <c r="C53" s="10"/>
      <c r="D53" s="11"/>
      <c r="E53" s="12" t="str">
        <f aca="false">IF(D53="","",D53/60)</f>
        <v/>
      </c>
      <c r="F53" s="10"/>
    </row>
    <row r="54" customFormat="false" ht="15" hidden="false" customHeight="false" outlineLevel="0" collapsed="false">
      <c r="A54" s="9"/>
      <c r="B54" s="10"/>
      <c r="C54" s="10"/>
      <c r="D54" s="11"/>
      <c r="E54" s="12" t="str">
        <f aca="false">IF(D54="","",D54/60)</f>
        <v/>
      </c>
      <c r="F54" s="10"/>
    </row>
    <row r="55" customFormat="false" ht="15" hidden="false" customHeight="false" outlineLevel="0" collapsed="false">
      <c r="A55" s="9"/>
      <c r="B55" s="10"/>
      <c r="C55" s="10"/>
      <c r="D55" s="11"/>
      <c r="E55" s="12" t="str">
        <f aca="false">IF(D55="","",D55/60)</f>
        <v/>
      </c>
      <c r="F55" s="10"/>
    </row>
    <row r="56" customFormat="false" ht="15" hidden="false" customHeight="false" outlineLevel="0" collapsed="false">
      <c r="A56" s="9"/>
      <c r="B56" s="10"/>
      <c r="C56" s="10"/>
      <c r="D56" s="11"/>
      <c r="E56" s="12" t="str">
        <f aca="false">IF(D56="","",D56/60)</f>
        <v/>
      </c>
      <c r="F56" s="10"/>
    </row>
    <row r="57" customFormat="false" ht="15" hidden="false" customHeight="false" outlineLevel="0" collapsed="false">
      <c r="A57" s="9"/>
      <c r="B57" s="10"/>
      <c r="C57" s="10"/>
      <c r="D57" s="11"/>
      <c r="E57" s="12" t="str">
        <f aca="false">IF(D57="","",D57/60)</f>
        <v/>
      </c>
      <c r="F57" s="10"/>
    </row>
    <row r="58" customFormat="false" ht="15" hidden="false" customHeight="false" outlineLevel="0" collapsed="false">
      <c r="A58" s="9"/>
      <c r="B58" s="10"/>
      <c r="C58" s="10"/>
      <c r="D58" s="11"/>
      <c r="E58" s="12" t="str">
        <f aca="false">IF(D58="","",D58/60)</f>
        <v/>
      </c>
      <c r="F58" s="10"/>
    </row>
    <row r="59" customFormat="false" ht="15" hidden="false" customHeight="false" outlineLevel="0" collapsed="false">
      <c r="A59" s="9"/>
      <c r="B59" s="10"/>
      <c r="C59" s="10"/>
      <c r="D59" s="11"/>
      <c r="E59" s="12" t="str">
        <f aca="false">IF(D59="","",D59/60)</f>
        <v/>
      </c>
      <c r="F59" s="10"/>
    </row>
    <row r="60" customFormat="false" ht="15" hidden="false" customHeight="false" outlineLevel="0" collapsed="false">
      <c r="A60" s="9"/>
      <c r="B60" s="10"/>
      <c r="C60" s="10"/>
      <c r="D60" s="11"/>
      <c r="E60" s="12" t="str">
        <f aca="false">IF(D60="","",D60/60)</f>
        <v/>
      </c>
      <c r="F60" s="10"/>
    </row>
    <row r="61" customFormat="false" ht="15" hidden="false" customHeight="false" outlineLevel="0" collapsed="false">
      <c r="A61" s="9"/>
      <c r="B61" s="10"/>
      <c r="C61" s="10"/>
      <c r="D61" s="11"/>
      <c r="E61" s="12" t="str">
        <f aca="false">IF(D61="","",D61/60)</f>
        <v/>
      </c>
      <c r="F61" s="10"/>
    </row>
    <row r="62" customFormat="false" ht="15" hidden="false" customHeight="false" outlineLevel="0" collapsed="false">
      <c r="A62" s="9"/>
      <c r="B62" s="10"/>
      <c r="C62" s="10"/>
      <c r="D62" s="11"/>
      <c r="E62" s="12" t="str">
        <f aca="false">IF(D62="","",D62/60)</f>
        <v/>
      </c>
      <c r="F62" s="10"/>
    </row>
    <row r="63" customFormat="false" ht="15" hidden="false" customHeight="false" outlineLevel="0" collapsed="false">
      <c r="A63" s="9"/>
      <c r="B63" s="10"/>
      <c r="C63" s="10"/>
      <c r="D63" s="11"/>
      <c r="E63" s="12" t="str">
        <f aca="false">IF(D63="","",D63/60)</f>
        <v/>
      </c>
      <c r="F63" s="10"/>
    </row>
    <row r="64" customFormat="false" ht="15" hidden="false" customHeight="false" outlineLevel="0" collapsed="false">
      <c r="A64" s="9"/>
      <c r="B64" s="10"/>
      <c r="C64" s="10"/>
      <c r="D64" s="11"/>
      <c r="E64" s="12" t="str">
        <f aca="false">IF(D64="","",D64/60)</f>
        <v/>
      </c>
      <c r="F64" s="10"/>
    </row>
    <row r="65" customFormat="false" ht="15" hidden="false" customHeight="false" outlineLevel="0" collapsed="false">
      <c r="A65" s="9"/>
      <c r="B65" s="10"/>
      <c r="C65" s="10"/>
      <c r="D65" s="11"/>
      <c r="E65" s="12" t="str">
        <f aca="false">IF(D65="","",D65/60)</f>
        <v/>
      </c>
      <c r="F65" s="10"/>
    </row>
    <row r="66" customFormat="false" ht="15" hidden="false" customHeight="false" outlineLevel="0" collapsed="false">
      <c r="A66" s="9"/>
      <c r="B66" s="10"/>
      <c r="C66" s="10"/>
      <c r="D66" s="11"/>
      <c r="E66" s="12" t="str">
        <f aca="false">IF(D66="","",D66/60)</f>
        <v/>
      </c>
      <c r="F66" s="10"/>
    </row>
    <row r="67" customFormat="false" ht="15" hidden="false" customHeight="false" outlineLevel="0" collapsed="false">
      <c r="A67" s="9"/>
      <c r="B67" s="10"/>
      <c r="C67" s="10"/>
      <c r="D67" s="11"/>
      <c r="E67" s="12" t="str">
        <f aca="false">IF(D67="","",D67/60)</f>
        <v/>
      </c>
      <c r="F67" s="10"/>
    </row>
    <row r="68" customFormat="false" ht="15" hidden="false" customHeight="false" outlineLevel="0" collapsed="false">
      <c r="A68" s="9"/>
      <c r="B68" s="10"/>
      <c r="C68" s="10"/>
      <c r="D68" s="11"/>
      <c r="E68" s="12" t="str">
        <f aca="false">IF(D68="","",D68/60)</f>
        <v/>
      </c>
      <c r="F68" s="10"/>
    </row>
    <row r="69" customFormat="false" ht="15" hidden="false" customHeight="false" outlineLevel="0" collapsed="false">
      <c r="A69" s="9"/>
      <c r="B69" s="10"/>
      <c r="C69" s="10"/>
      <c r="D69" s="11"/>
      <c r="E69" s="12" t="str">
        <f aca="false">IF(D69="","",D69/60)</f>
        <v/>
      </c>
      <c r="F69" s="10"/>
    </row>
    <row r="70" customFormat="false" ht="15" hidden="false" customHeight="false" outlineLevel="0" collapsed="false">
      <c r="A70" s="9"/>
      <c r="B70" s="10"/>
      <c r="C70" s="10"/>
      <c r="D70" s="11"/>
      <c r="E70" s="12" t="str">
        <f aca="false">IF(D70="","",D70/60)</f>
        <v/>
      </c>
      <c r="F70" s="10"/>
    </row>
    <row r="71" customFormat="false" ht="15" hidden="false" customHeight="false" outlineLevel="0" collapsed="false">
      <c r="A71" s="9"/>
      <c r="B71" s="10"/>
      <c r="C71" s="10"/>
      <c r="D71" s="11"/>
      <c r="E71" s="12" t="str">
        <f aca="false">IF(D71="","",D71/60)</f>
        <v/>
      </c>
      <c r="F71" s="10"/>
    </row>
    <row r="72" customFormat="false" ht="15" hidden="false" customHeight="false" outlineLevel="0" collapsed="false">
      <c r="A72" s="9"/>
      <c r="B72" s="10"/>
      <c r="C72" s="10"/>
      <c r="D72" s="11"/>
      <c r="E72" s="12" t="str">
        <f aca="false">IF(D72="","",D72/60)</f>
        <v/>
      </c>
      <c r="F72" s="10"/>
    </row>
    <row r="73" customFormat="false" ht="15" hidden="false" customHeight="false" outlineLevel="0" collapsed="false">
      <c r="A73" s="9"/>
      <c r="B73" s="10"/>
      <c r="C73" s="10"/>
      <c r="D73" s="11"/>
      <c r="E73" s="12" t="str">
        <f aca="false">IF(D73="","",D73/60)</f>
        <v/>
      </c>
      <c r="F73" s="10"/>
    </row>
    <row r="74" customFormat="false" ht="15" hidden="false" customHeight="false" outlineLevel="0" collapsed="false">
      <c r="A74" s="9"/>
      <c r="B74" s="10"/>
      <c r="C74" s="10"/>
      <c r="D74" s="11"/>
      <c r="E74" s="12" t="str">
        <f aca="false">IF(D74="","",D74/60)</f>
        <v/>
      </c>
      <c r="F74" s="10"/>
    </row>
    <row r="75" customFormat="false" ht="15" hidden="false" customHeight="false" outlineLevel="0" collapsed="false">
      <c r="A75" s="9"/>
      <c r="B75" s="10"/>
      <c r="C75" s="10"/>
      <c r="D75" s="11"/>
      <c r="E75" s="12" t="str">
        <f aca="false">IF(D75="","",D75/60)</f>
        <v/>
      </c>
      <c r="F75" s="10"/>
    </row>
    <row r="76" customFormat="false" ht="15" hidden="false" customHeight="false" outlineLevel="0" collapsed="false">
      <c r="A76" s="9"/>
      <c r="B76" s="10"/>
      <c r="C76" s="10"/>
      <c r="D76" s="11"/>
      <c r="E76" s="12" t="str">
        <f aca="false">IF(D76="","",D76/60)</f>
        <v/>
      </c>
      <c r="F76" s="10"/>
    </row>
    <row r="77" customFormat="false" ht="15" hidden="false" customHeight="false" outlineLevel="0" collapsed="false">
      <c r="A77" s="9"/>
      <c r="B77" s="10"/>
      <c r="C77" s="10"/>
      <c r="D77" s="11"/>
      <c r="E77" s="12" t="str">
        <f aca="false">IF(D77="","",D77/60)</f>
        <v/>
      </c>
      <c r="F77" s="10"/>
    </row>
    <row r="78" customFormat="false" ht="15" hidden="false" customHeight="false" outlineLevel="0" collapsed="false">
      <c r="A78" s="9"/>
      <c r="B78" s="10"/>
      <c r="C78" s="10"/>
      <c r="D78" s="11"/>
      <c r="E78" s="12" t="str">
        <f aca="false">IF(D78="","",D78/60)</f>
        <v/>
      </c>
      <c r="F78" s="10"/>
    </row>
    <row r="79" customFormat="false" ht="15" hidden="false" customHeight="false" outlineLevel="0" collapsed="false">
      <c r="A79" s="9"/>
      <c r="B79" s="10"/>
      <c r="C79" s="10"/>
      <c r="D79" s="11"/>
      <c r="E79" s="12" t="str">
        <f aca="false">IF(D79="","",D79/60)</f>
        <v/>
      </c>
      <c r="F79" s="10"/>
    </row>
    <row r="80" customFormat="false" ht="15" hidden="false" customHeight="false" outlineLevel="0" collapsed="false">
      <c r="A80" s="9"/>
      <c r="B80" s="10"/>
      <c r="C80" s="10"/>
      <c r="D80" s="11"/>
      <c r="E80" s="12" t="str">
        <f aca="false">IF(D80="","",D80/60)</f>
        <v/>
      </c>
      <c r="F80" s="10"/>
    </row>
    <row r="81" customFormat="false" ht="15" hidden="false" customHeight="false" outlineLevel="0" collapsed="false">
      <c r="A81" s="9"/>
      <c r="B81" s="10"/>
      <c r="C81" s="10"/>
      <c r="D81" s="11"/>
      <c r="E81" s="12" t="str">
        <f aca="false">IF(D81="","",D81/60)</f>
        <v/>
      </c>
      <c r="F81" s="10"/>
    </row>
    <row r="82" customFormat="false" ht="15" hidden="false" customHeight="false" outlineLevel="0" collapsed="false">
      <c r="A82" s="9"/>
      <c r="B82" s="10"/>
      <c r="C82" s="10"/>
      <c r="D82" s="11"/>
      <c r="E82" s="12" t="str">
        <f aca="false">IF(D82="","",D82/60)</f>
        <v/>
      </c>
      <c r="F82" s="10"/>
    </row>
    <row r="83" customFormat="false" ht="15" hidden="false" customHeight="false" outlineLevel="0" collapsed="false">
      <c r="A83" s="9"/>
      <c r="B83" s="10"/>
      <c r="C83" s="10"/>
      <c r="D83" s="11"/>
      <c r="E83" s="12" t="str">
        <f aca="false">IF(D83="","",D83/60)</f>
        <v/>
      </c>
      <c r="F83" s="10"/>
    </row>
    <row r="84" customFormat="false" ht="15" hidden="false" customHeight="false" outlineLevel="0" collapsed="false">
      <c r="A84" s="9"/>
      <c r="B84" s="10"/>
      <c r="C84" s="10"/>
      <c r="D84" s="11"/>
      <c r="E84" s="12" t="str">
        <f aca="false">IF(D84="","",D84/60)</f>
        <v/>
      </c>
      <c r="F84" s="10"/>
    </row>
    <row r="85" customFormat="false" ht="15" hidden="false" customHeight="false" outlineLevel="0" collapsed="false">
      <c r="A85" s="9"/>
      <c r="B85" s="10"/>
      <c r="C85" s="10"/>
      <c r="D85" s="11"/>
      <c r="E85" s="12" t="str">
        <f aca="false">IF(D85="","",D85/60)</f>
        <v/>
      </c>
      <c r="F85" s="10"/>
    </row>
    <row r="86" customFormat="false" ht="15" hidden="false" customHeight="false" outlineLevel="0" collapsed="false">
      <c r="A86" s="9"/>
      <c r="B86" s="10"/>
      <c r="C86" s="10"/>
      <c r="D86" s="11"/>
      <c r="E86" s="12" t="str">
        <f aca="false">IF(D86="","",D86/60)</f>
        <v/>
      </c>
      <c r="F86" s="10"/>
    </row>
    <row r="87" customFormat="false" ht="15" hidden="false" customHeight="false" outlineLevel="0" collapsed="false">
      <c r="A87" s="9"/>
      <c r="B87" s="10"/>
      <c r="C87" s="10"/>
      <c r="D87" s="11"/>
      <c r="E87" s="12" t="str">
        <f aca="false">IF(D87="","",D87/60)</f>
        <v/>
      </c>
      <c r="F87" s="10"/>
    </row>
    <row r="88" customFormat="false" ht="15" hidden="false" customHeight="false" outlineLevel="0" collapsed="false">
      <c r="A88" s="9"/>
      <c r="B88" s="10"/>
      <c r="C88" s="10"/>
      <c r="D88" s="11"/>
      <c r="E88" s="12" t="str">
        <f aca="false">IF(D88="","",D88/60)</f>
        <v/>
      </c>
      <c r="F88" s="10"/>
    </row>
    <row r="89" customFormat="false" ht="15" hidden="false" customHeight="false" outlineLevel="0" collapsed="false">
      <c r="A89" s="9"/>
      <c r="B89" s="10"/>
      <c r="C89" s="10"/>
      <c r="D89" s="11"/>
      <c r="E89" s="12" t="str">
        <f aca="false">IF(D89="","",D89/60)</f>
        <v/>
      </c>
      <c r="F89" s="10"/>
    </row>
    <row r="90" customFormat="false" ht="15" hidden="false" customHeight="false" outlineLevel="0" collapsed="false">
      <c r="A90" s="9"/>
      <c r="B90" s="10"/>
      <c r="C90" s="10"/>
      <c r="D90" s="11"/>
      <c r="E90" s="12" t="str">
        <f aca="false">IF(D90="","",D90/60)</f>
        <v/>
      </c>
      <c r="F90" s="10"/>
    </row>
    <row r="91" customFormat="false" ht="15" hidden="false" customHeight="false" outlineLevel="0" collapsed="false">
      <c r="A91" s="9"/>
      <c r="B91" s="10"/>
      <c r="C91" s="10"/>
      <c r="D91" s="11"/>
      <c r="E91" s="12" t="str">
        <f aca="false">IF(D91="","",D91/60)</f>
        <v/>
      </c>
      <c r="F91" s="10"/>
    </row>
    <row r="92" customFormat="false" ht="15" hidden="false" customHeight="false" outlineLevel="0" collapsed="false">
      <c r="A92" s="9"/>
      <c r="B92" s="10"/>
      <c r="C92" s="10"/>
      <c r="D92" s="11"/>
      <c r="E92" s="12" t="str">
        <f aca="false">IF(D92="","",D92/60)</f>
        <v/>
      </c>
      <c r="F92" s="10"/>
    </row>
    <row r="93" customFormat="false" ht="15" hidden="false" customHeight="false" outlineLevel="0" collapsed="false">
      <c r="A93" s="9"/>
      <c r="B93" s="10"/>
      <c r="C93" s="10"/>
      <c r="D93" s="11"/>
      <c r="E93" s="12" t="str">
        <f aca="false">IF(D93="","",D93/60)</f>
        <v/>
      </c>
      <c r="F93" s="10"/>
    </row>
    <row r="94" customFormat="false" ht="15" hidden="false" customHeight="false" outlineLevel="0" collapsed="false">
      <c r="A94" s="9"/>
      <c r="B94" s="10"/>
      <c r="C94" s="10"/>
      <c r="D94" s="11"/>
      <c r="E94" s="12" t="str">
        <f aca="false">IF(D94="","",D94/60)</f>
        <v/>
      </c>
      <c r="F94" s="10"/>
    </row>
    <row r="95" customFormat="false" ht="15" hidden="false" customHeight="false" outlineLevel="0" collapsed="false">
      <c r="A95" s="9"/>
      <c r="B95" s="10"/>
      <c r="C95" s="10"/>
      <c r="D95" s="11"/>
      <c r="E95" s="12" t="str">
        <f aca="false">IF(D95="","",D95/60)</f>
        <v/>
      </c>
      <c r="F95" s="10"/>
    </row>
    <row r="96" customFormat="false" ht="15" hidden="false" customHeight="false" outlineLevel="0" collapsed="false">
      <c r="A96" s="9"/>
      <c r="B96" s="10"/>
      <c r="C96" s="10"/>
      <c r="D96" s="11"/>
      <c r="E96" s="12" t="str">
        <f aca="false">IF(D96="","",D96/60)</f>
        <v/>
      </c>
      <c r="F96" s="10"/>
    </row>
    <row r="97" customFormat="false" ht="15" hidden="false" customHeight="false" outlineLevel="0" collapsed="false">
      <c r="A97" s="9"/>
      <c r="B97" s="10"/>
      <c r="C97" s="10"/>
      <c r="D97" s="11"/>
      <c r="E97" s="12" t="str">
        <f aca="false">IF(D97="","",D97/60)</f>
        <v/>
      </c>
      <c r="F97" s="10"/>
    </row>
    <row r="98" customFormat="false" ht="15" hidden="false" customHeight="false" outlineLevel="0" collapsed="false">
      <c r="A98" s="9"/>
      <c r="B98" s="10"/>
      <c r="C98" s="10"/>
      <c r="D98" s="11"/>
      <c r="E98" s="12" t="str">
        <f aca="false">IF(D98="","",D98/60)</f>
        <v/>
      </c>
      <c r="F98" s="10"/>
    </row>
    <row r="99" customFormat="false" ht="15" hidden="false" customHeight="false" outlineLevel="0" collapsed="false">
      <c r="A99" s="9"/>
      <c r="B99" s="10"/>
      <c r="C99" s="10"/>
      <c r="D99" s="11"/>
      <c r="E99" s="12" t="str">
        <f aca="false">IF(D99="","",D99/60)</f>
        <v/>
      </c>
      <c r="F99" s="10"/>
    </row>
    <row r="100" customFormat="false" ht="15" hidden="false" customHeight="false" outlineLevel="0" collapsed="false">
      <c r="A100" s="9"/>
      <c r="B100" s="10"/>
      <c r="C100" s="10"/>
      <c r="D100" s="11"/>
      <c r="E100" s="12" t="str">
        <f aca="false">IF(D100="","",D100/60)</f>
        <v/>
      </c>
      <c r="F100" s="10"/>
    </row>
    <row r="101" customFormat="false" ht="15" hidden="false" customHeight="false" outlineLevel="0" collapsed="false">
      <c r="A101" s="9"/>
      <c r="B101" s="10"/>
      <c r="C101" s="10"/>
      <c r="D101" s="11"/>
      <c r="E101" s="12" t="str">
        <f aca="false">IF(D101="","",D101/60)</f>
        <v/>
      </c>
      <c r="F101" s="10"/>
    </row>
    <row r="102" customFormat="false" ht="15" hidden="false" customHeight="false" outlineLevel="0" collapsed="false">
      <c r="A102" s="9"/>
      <c r="B102" s="10"/>
      <c r="C102" s="10"/>
      <c r="D102" s="11"/>
      <c r="E102" s="12" t="str">
        <f aca="false">IF(D102="","",D102/60)</f>
        <v/>
      </c>
      <c r="F102" s="10"/>
    </row>
    <row r="103" customFormat="false" ht="15" hidden="false" customHeight="false" outlineLevel="0" collapsed="false">
      <c r="A103" s="9"/>
      <c r="B103" s="10"/>
      <c r="C103" s="10"/>
      <c r="D103" s="11"/>
      <c r="E103" s="12" t="str">
        <f aca="false">IF(D103="","",D103/60)</f>
        <v/>
      </c>
      <c r="F103" s="10"/>
    </row>
    <row r="104" customFormat="false" ht="15" hidden="false" customHeight="false" outlineLevel="0" collapsed="false">
      <c r="A104" s="9"/>
      <c r="B104" s="10"/>
      <c r="C104" s="10"/>
      <c r="D104" s="11"/>
      <c r="E104" s="12" t="str">
        <f aca="false">IF(D104="","",D104/60)</f>
        <v/>
      </c>
      <c r="F104" s="10"/>
    </row>
    <row r="105" customFormat="false" ht="15" hidden="false" customHeight="false" outlineLevel="0" collapsed="false">
      <c r="A105" s="9"/>
      <c r="B105" s="10"/>
      <c r="C105" s="10"/>
      <c r="D105" s="11"/>
      <c r="E105" s="12" t="str">
        <f aca="false">IF(D105="","",D105/60)</f>
        <v/>
      </c>
      <c r="F105" s="10"/>
    </row>
    <row r="106" customFormat="false" ht="15" hidden="false" customHeight="false" outlineLevel="0" collapsed="false">
      <c r="A106" s="9"/>
      <c r="B106" s="10"/>
      <c r="C106" s="10"/>
      <c r="D106" s="11"/>
      <c r="E106" s="12" t="str">
        <f aca="false">IF(D106="","",D106/60)</f>
        <v/>
      </c>
      <c r="F106" s="10"/>
    </row>
    <row r="107" customFormat="false" ht="15" hidden="false" customHeight="false" outlineLevel="0" collapsed="false">
      <c r="A107" s="9"/>
      <c r="B107" s="10"/>
      <c r="C107" s="10"/>
      <c r="D107" s="11"/>
      <c r="E107" s="12" t="str">
        <f aca="false">IF(D107="","",D107/60)</f>
        <v/>
      </c>
      <c r="F107" s="10"/>
    </row>
  </sheetData>
  <mergeCells count="3">
    <mergeCell ref="A1:F1"/>
    <mergeCell ref="A2:F2"/>
    <mergeCell ref="A4:F5"/>
  </mergeCells>
  <dataValidations count="2">
    <dataValidation allowBlank="true" error="Choose a category from the dropdown list." errorStyle="stop" errorTitle="Invalid category" operator="between" showDropDown="false" showErrorMessage="false" showInputMessage="false" sqref="B7:B107" type="list">
      <formula1>Categories!$A$5:$A$11</formula1>
      <formula2>0</formula2>
    </dataValidation>
    <dataValidation allowBlank="true" error="Choose a subcategory from the dropdown list." errorStyle="stop" errorTitle="Invalid subcategory" operator="between" showDropDown="false" showErrorMessage="false" showInputMessage="false" sqref="C7:C107" type="list">
      <formula1>Categories!$B$5:$B$22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13" t="s">
        <v>21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22</v>
      </c>
      <c r="B4" s="15" t="n">
        <v>46244</v>
      </c>
    </row>
    <row r="5" customFormat="false" ht="15" hidden="false" customHeight="false" outlineLevel="0" collapsed="false">
      <c r="A5" s="14" t="s">
        <v>23</v>
      </c>
      <c r="B5" s="16" t="n">
        <f aca="false">B4+13</f>
        <v>46257</v>
      </c>
    </row>
    <row r="6" customFormat="false" ht="15" hidden="false" customHeight="false" outlineLevel="0" collapsed="false">
      <c r="A6" s="14" t="s">
        <v>24</v>
      </c>
      <c r="B6" s="16" t="n">
        <f aca="true">TODAY()</f>
        <v>46244</v>
      </c>
    </row>
    <row r="7" customFormat="false" ht="15" hidden="false" customHeight="false" outlineLevel="0" collapsed="false">
      <c r="A7" s="14" t="s">
        <v>25</v>
      </c>
      <c r="B7" s="17" t="n">
        <f aca="false">MAX(B5-B6,0)</f>
        <v>13</v>
      </c>
    </row>
    <row r="9" customFormat="false" ht="16.15" hidden="false" customHeight="false" outlineLevel="0" collapsed="false">
      <c r="A9" s="18" t="s">
        <v>26</v>
      </c>
      <c r="E9" s="18" t="s">
        <v>27</v>
      </c>
    </row>
    <row r="10" customFormat="false" ht="15" hidden="false" customHeight="false" outlineLevel="0" collapsed="false">
      <c r="A10" s="19" t="s">
        <v>4</v>
      </c>
      <c r="B10" s="19" t="s">
        <v>28</v>
      </c>
      <c r="E10" s="19" t="s">
        <v>3</v>
      </c>
      <c r="F10" s="19" t="s">
        <v>28</v>
      </c>
    </row>
    <row r="11" customFormat="false" ht="15" hidden="false" customHeight="false" outlineLevel="0" collapsed="false">
      <c r="A11" s="20" t="s">
        <v>9</v>
      </c>
      <c r="B11" s="21" t="n">
        <f aca="false">SUMIFS('Time Log'!$E$7:$E$107,'Time Log'!$B$7:$B$107,A11)</f>
        <v>1.08333333333333</v>
      </c>
      <c r="E11" s="22" t="n">
        <f aca="false">$B$4</f>
        <v>46244</v>
      </c>
      <c r="F11" s="21" t="n">
        <f aca="false">SUMIFS('Time Log'!$E$7:$E$107,'Time Log'!$A$7:$A$107,E11)</f>
        <v>2.08333333333333</v>
      </c>
    </row>
    <row r="12" customFormat="false" ht="15" hidden="false" customHeight="false" outlineLevel="0" collapsed="false">
      <c r="A12" s="20" t="s">
        <v>29</v>
      </c>
      <c r="B12" s="21" t="n">
        <f aca="false">SUMIFS('Time Log'!$E$7:$E$107,'Time Log'!$B$7:$B$107,A12)</f>
        <v>0</v>
      </c>
      <c r="E12" s="22" t="n">
        <f aca="false">E11+1</f>
        <v>46245</v>
      </c>
      <c r="F12" s="21" t="n">
        <f aca="false">SUMIFS('Time Log'!$E$7:$E$107,'Time Log'!$A$7:$A$107,E12)</f>
        <v>0</v>
      </c>
    </row>
    <row r="13" customFormat="false" ht="15" hidden="false" customHeight="false" outlineLevel="0" collapsed="false">
      <c r="A13" s="20" t="s">
        <v>30</v>
      </c>
      <c r="B13" s="21" t="n">
        <f aca="false">SUMIFS('Time Log'!$E$7:$E$107,'Time Log'!$B$7:$B$107,A13)</f>
        <v>0</v>
      </c>
      <c r="E13" s="22" t="n">
        <f aca="false">E12+1</f>
        <v>46246</v>
      </c>
      <c r="F13" s="21" t="n">
        <f aca="false">SUMIFS('Time Log'!$E$7:$E$107,'Time Log'!$A$7:$A$107,E13)</f>
        <v>0</v>
      </c>
    </row>
    <row r="14" customFormat="false" ht="15" hidden="false" customHeight="false" outlineLevel="0" collapsed="false">
      <c r="A14" s="20" t="s">
        <v>31</v>
      </c>
      <c r="B14" s="21" t="n">
        <f aca="false">SUMIFS('Time Log'!$E$7:$E$107,'Time Log'!$B$7:$B$107,A14)</f>
        <v>0</v>
      </c>
      <c r="E14" s="22" t="n">
        <f aca="false">E13+1</f>
        <v>46247</v>
      </c>
      <c r="F14" s="21" t="n">
        <f aca="false">SUMIFS('Time Log'!$E$7:$E$107,'Time Log'!$A$7:$A$107,E14)</f>
        <v>0</v>
      </c>
    </row>
    <row r="15" customFormat="false" ht="15" hidden="false" customHeight="false" outlineLevel="0" collapsed="false">
      <c r="A15" s="20" t="s">
        <v>32</v>
      </c>
      <c r="B15" s="21" t="n">
        <f aca="false">SUMIFS('Time Log'!$E$7:$E$107,'Time Log'!$B$7:$B$107,A15)</f>
        <v>0</v>
      </c>
      <c r="E15" s="22" t="n">
        <f aca="false">E14+1</f>
        <v>46248</v>
      </c>
      <c r="F15" s="21" t="n">
        <f aca="false">SUMIFS('Time Log'!$E$7:$E$107,'Time Log'!$A$7:$A$107,E15)</f>
        <v>0</v>
      </c>
    </row>
    <row r="16" customFormat="false" ht="15" hidden="false" customHeight="false" outlineLevel="0" collapsed="false">
      <c r="A16" s="20" t="s">
        <v>33</v>
      </c>
      <c r="B16" s="21" t="n">
        <f aca="false">SUMIFS('Time Log'!$E$7:$E$107,'Time Log'!$B$7:$B$107,A16)</f>
        <v>0</v>
      </c>
      <c r="E16" s="22" t="n">
        <f aca="false">E15+1</f>
        <v>46249</v>
      </c>
      <c r="F16" s="21" t="n">
        <f aca="false">SUMIFS('Time Log'!$E$7:$E$107,'Time Log'!$A$7:$A$107,E16)</f>
        <v>0</v>
      </c>
    </row>
    <row r="17" customFormat="false" ht="15" hidden="false" customHeight="false" outlineLevel="0" collapsed="false">
      <c r="A17" s="20" t="s">
        <v>14</v>
      </c>
      <c r="B17" s="21" t="n">
        <f aca="false">SUMIFS('Time Log'!$E$7:$E$107,'Time Log'!$B$7:$B$107,A17)</f>
        <v>1</v>
      </c>
      <c r="E17" s="22" t="n">
        <f aca="false">E16+1</f>
        <v>46250</v>
      </c>
      <c r="F17" s="21" t="n">
        <f aca="false">SUMIFS('Time Log'!$E$7:$E$107,'Time Log'!$A$7:$A$107,E17)</f>
        <v>0</v>
      </c>
    </row>
    <row r="18" customFormat="false" ht="15" hidden="false" customHeight="false" outlineLevel="0" collapsed="false">
      <c r="A18" s="23" t="s">
        <v>34</v>
      </c>
      <c r="B18" s="24" t="n">
        <f aca="false">SUM(B11:B17)</f>
        <v>2.08333333333333</v>
      </c>
      <c r="E18" s="22" t="n">
        <f aca="false">E17+1</f>
        <v>46251</v>
      </c>
      <c r="F18" s="21" t="n">
        <f aca="false">SUMIFS('Time Log'!$E$7:$E$107,'Time Log'!$A$7:$A$107,E18)</f>
        <v>0</v>
      </c>
    </row>
    <row r="19" customFormat="false" ht="15" hidden="false" customHeight="false" outlineLevel="0" collapsed="false">
      <c r="E19" s="22" t="n">
        <f aca="false">E18+1</f>
        <v>46252</v>
      </c>
      <c r="F19" s="21" t="n">
        <f aca="false">SUMIFS('Time Log'!$E$7:$E$107,'Time Log'!$A$7:$A$107,E19)</f>
        <v>0</v>
      </c>
    </row>
    <row r="20" customFormat="false" ht="16.15" hidden="false" customHeight="false" outlineLevel="0" collapsed="false">
      <c r="A20" s="18" t="s">
        <v>35</v>
      </c>
      <c r="E20" s="22" t="n">
        <f aca="false">E19+1</f>
        <v>46253</v>
      </c>
      <c r="F20" s="21" t="n">
        <f aca="false">SUMIFS('Time Log'!$E$7:$E$107,'Time Log'!$A$7:$A$107,E20)</f>
        <v>0</v>
      </c>
    </row>
    <row r="21" customFormat="false" ht="15" hidden="false" customHeight="false" outlineLevel="0" collapsed="false">
      <c r="A21" s="19" t="s">
        <v>5</v>
      </c>
      <c r="B21" s="19" t="s">
        <v>36</v>
      </c>
      <c r="C21" s="19" t="s">
        <v>28</v>
      </c>
      <c r="E21" s="22" t="n">
        <f aca="false">E20+1</f>
        <v>46254</v>
      </c>
      <c r="F21" s="21" t="n">
        <f aca="false">SUMIFS('Time Log'!$E$7:$E$107,'Time Log'!$A$7:$A$107,E21)</f>
        <v>0</v>
      </c>
    </row>
    <row r="22" customFormat="false" ht="15" hidden="false" customHeight="false" outlineLevel="0" collapsed="false">
      <c r="A22" s="20" t="s">
        <v>12</v>
      </c>
      <c r="B22" s="20" t="s">
        <v>9</v>
      </c>
      <c r="C22" s="21" t="n">
        <f aca="false">SUMIFS('Time Log'!$E$7:$E$107,'Time Log'!$C$7:$C$107,A22)</f>
        <v>0.75</v>
      </c>
      <c r="E22" s="22" t="n">
        <f aca="false">E21+1</f>
        <v>46255</v>
      </c>
      <c r="F22" s="21" t="n">
        <f aca="false">SUMIFS('Time Log'!$E$7:$E$107,'Time Log'!$A$7:$A$107,E22)</f>
        <v>0</v>
      </c>
    </row>
    <row r="23" customFormat="false" ht="15" hidden="false" customHeight="false" outlineLevel="0" collapsed="false">
      <c r="A23" s="20" t="s">
        <v>37</v>
      </c>
      <c r="B23" s="20" t="s">
        <v>9</v>
      </c>
      <c r="C23" s="21" t="n">
        <f aca="false">SUMIFS('Time Log'!$E$7:$E$107,'Time Log'!$C$7:$C$107,A23)</f>
        <v>0</v>
      </c>
      <c r="E23" s="22" t="n">
        <f aca="false">E22+1</f>
        <v>46256</v>
      </c>
      <c r="F23" s="21" t="n">
        <f aca="false">SUMIFS('Time Log'!$E$7:$E$107,'Time Log'!$A$7:$A$107,E23)</f>
        <v>0</v>
      </c>
    </row>
    <row r="24" customFormat="false" ht="15" hidden="false" customHeight="false" outlineLevel="0" collapsed="false">
      <c r="A24" s="20" t="s">
        <v>10</v>
      </c>
      <c r="B24" s="20" t="s">
        <v>9</v>
      </c>
      <c r="C24" s="21" t="n">
        <f aca="false">SUMIFS('Time Log'!$E$7:$E$107,'Time Log'!$C$7:$C$107,A24)</f>
        <v>0.0833333333333333</v>
      </c>
      <c r="E24" s="22" t="n">
        <f aca="false">E23+1</f>
        <v>46257</v>
      </c>
      <c r="F24" s="21" t="n">
        <f aca="false">SUMIFS('Time Log'!$E$7:$E$107,'Time Log'!$A$7:$A$107,E24)</f>
        <v>0</v>
      </c>
    </row>
    <row r="25" customFormat="false" ht="15" hidden="false" customHeight="false" outlineLevel="0" collapsed="false">
      <c r="A25" s="20" t="s">
        <v>38</v>
      </c>
      <c r="B25" s="20" t="s">
        <v>9</v>
      </c>
      <c r="C25" s="21" t="n">
        <f aca="false">SUMIFS('Time Log'!$E$7:$E$107,'Time Log'!$C$7:$C$107,A25)</f>
        <v>0</v>
      </c>
    </row>
    <row r="26" customFormat="false" ht="15" hidden="false" customHeight="false" outlineLevel="0" collapsed="false">
      <c r="A26" s="20" t="s">
        <v>39</v>
      </c>
      <c r="B26" s="20" t="s">
        <v>29</v>
      </c>
      <c r="C26" s="21" t="n">
        <f aca="false">SUMIFS('Time Log'!$E$7:$E$107,'Time Log'!$C$7:$C$107,A26)</f>
        <v>0</v>
      </c>
    </row>
    <row r="27" customFormat="false" ht="15" hidden="false" customHeight="false" outlineLevel="0" collapsed="false">
      <c r="A27" s="20" t="s">
        <v>40</v>
      </c>
      <c r="B27" s="20" t="s">
        <v>29</v>
      </c>
      <c r="C27" s="21" t="n">
        <f aca="false">SUMIFS('Time Log'!$E$7:$E$107,'Time Log'!$C$7:$C$107,A27)</f>
        <v>0</v>
      </c>
    </row>
    <row r="28" customFormat="false" ht="15" hidden="false" customHeight="false" outlineLevel="0" collapsed="false">
      <c r="A28" s="20" t="s">
        <v>41</v>
      </c>
      <c r="B28" s="20" t="s">
        <v>29</v>
      </c>
      <c r="C28" s="21" t="n">
        <f aca="false">SUMIFS('Time Log'!$E$7:$E$107,'Time Log'!$C$7:$C$107,A28)</f>
        <v>0</v>
      </c>
    </row>
    <row r="29" customFormat="false" ht="15" hidden="false" customHeight="false" outlineLevel="0" collapsed="false">
      <c r="A29" s="20" t="s">
        <v>42</v>
      </c>
      <c r="B29" s="20" t="s">
        <v>30</v>
      </c>
      <c r="C29" s="21" t="n">
        <f aca="false">SUMIFS('Time Log'!$E$7:$E$107,'Time Log'!$C$7:$C$107,A29)</f>
        <v>0</v>
      </c>
    </row>
    <row r="30" customFormat="false" ht="15" hidden="false" customHeight="false" outlineLevel="0" collapsed="false">
      <c r="A30" s="20" t="s">
        <v>43</v>
      </c>
      <c r="B30" s="20" t="s">
        <v>30</v>
      </c>
      <c r="C30" s="21" t="n">
        <f aca="false">SUMIFS('Time Log'!$E$7:$E$107,'Time Log'!$C$7:$C$107,A30)</f>
        <v>0</v>
      </c>
    </row>
    <row r="31" customFormat="false" ht="15" hidden="false" customHeight="false" outlineLevel="0" collapsed="false">
      <c r="A31" s="20" t="s">
        <v>44</v>
      </c>
      <c r="B31" s="20" t="s">
        <v>31</v>
      </c>
      <c r="C31" s="21" t="n">
        <f aca="false">SUMIFS('Time Log'!$E$7:$E$107,'Time Log'!$C$7:$C$107,A31)</f>
        <v>0</v>
      </c>
    </row>
    <row r="32" customFormat="false" ht="15" hidden="false" customHeight="false" outlineLevel="0" collapsed="false">
      <c r="A32" s="20" t="s">
        <v>45</v>
      </c>
      <c r="B32" s="20" t="s">
        <v>31</v>
      </c>
      <c r="C32" s="21" t="n">
        <f aca="false">SUMIFS('Time Log'!$E$7:$E$107,'Time Log'!$C$7:$C$107,A32)</f>
        <v>0</v>
      </c>
    </row>
    <row r="33" customFormat="false" ht="15" hidden="false" customHeight="false" outlineLevel="0" collapsed="false">
      <c r="A33" s="20" t="s">
        <v>46</v>
      </c>
      <c r="B33" s="20" t="s">
        <v>31</v>
      </c>
      <c r="C33" s="21" t="n">
        <f aca="false">SUMIFS('Time Log'!$E$7:$E$107,'Time Log'!$C$7:$C$107,A33)</f>
        <v>0</v>
      </c>
    </row>
    <row r="34" customFormat="false" ht="15" hidden="false" customHeight="false" outlineLevel="0" collapsed="false">
      <c r="A34" s="20" t="s">
        <v>47</v>
      </c>
      <c r="B34" s="20" t="s">
        <v>32</v>
      </c>
      <c r="C34" s="21" t="n">
        <f aca="false">SUMIFS('Time Log'!$E$7:$E$107,'Time Log'!$C$7:$C$107,A34)</f>
        <v>0</v>
      </c>
    </row>
    <row r="35" customFormat="false" ht="15" hidden="false" customHeight="false" outlineLevel="0" collapsed="false">
      <c r="A35" s="20" t="s">
        <v>48</v>
      </c>
      <c r="B35" s="20" t="s">
        <v>32</v>
      </c>
      <c r="C35" s="21" t="n">
        <f aca="false">SUMIFS('Time Log'!$E$7:$E$107,'Time Log'!$C$7:$C$107,A35)</f>
        <v>0</v>
      </c>
    </row>
    <row r="36" customFormat="false" ht="15" hidden="false" customHeight="false" outlineLevel="0" collapsed="false">
      <c r="A36" s="20" t="s">
        <v>49</v>
      </c>
      <c r="B36" s="20" t="s">
        <v>33</v>
      </c>
      <c r="C36" s="21" t="n">
        <f aca="false">SUMIFS('Time Log'!$E$7:$E$107,'Time Log'!$C$7:$C$107,A36)</f>
        <v>0</v>
      </c>
    </row>
    <row r="37" customFormat="false" ht="15" hidden="false" customHeight="false" outlineLevel="0" collapsed="false">
      <c r="A37" s="20" t="s">
        <v>50</v>
      </c>
      <c r="B37" s="20" t="s">
        <v>33</v>
      </c>
      <c r="C37" s="21" t="n">
        <f aca="false">SUMIFS('Time Log'!$E$7:$E$107,'Time Log'!$C$7:$C$107,A37)</f>
        <v>0</v>
      </c>
    </row>
    <row r="38" customFormat="false" ht="15" hidden="false" customHeight="false" outlineLevel="0" collapsed="false">
      <c r="A38" s="20" t="s">
        <v>15</v>
      </c>
      <c r="B38" s="20" t="s">
        <v>14</v>
      </c>
      <c r="C38" s="21" t="n">
        <f aca="false">SUMIFS('Time Log'!$E$7:$E$107,'Time Log'!$C$7:$C$107,A38)</f>
        <v>1</v>
      </c>
    </row>
    <row r="39" customFormat="false" ht="15" hidden="false" customHeight="false" outlineLevel="0" collapsed="false">
      <c r="A39" s="20" t="s">
        <v>17</v>
      </c>
      <c r="B39" s="20" t="s">
        <v>9</v>
      </c>
      <c r="C39" s="21" t="n">
        <f aca="false">SUMIFS('Time Log'!$E$7:$E$107,'Time Log'!$C$7:$C$107,A39)</f>
        <v>0.25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30"/>
  </cols>
  <sheetData>
    <row r="1" customFormat="false" ht="18" hidden="false" customHeight="true" outlineLevel="0" collapsed="false">
      <c r="A1" s="25" t="s">
        <v>51</v>
      </c>
      <c r="B1" s="25"/>
      <c r="C1" s="25"/>
      <c r="D1" s="25"/>
      <c r="E1" s="25"/>
      <c r="F1" s="25"/>
    </row>
    <row r="2" customFormat="false" ht="15" hidden="false" customHeight="false" outlineLevel="0" collapsed="false">
      <c r="A2" s="26" t="s">
        <v>52</v>
      </c>
      <c r="B2" s="26"/>
      <c r="C2" s="26"/>
    </row>
    <row r="4" customFormat="false" ht="15" hidden="false" customHeight="false" outlineLevel="0" collapsed="false">
      <c r="A4" s="27" t="s">
        <v>4</v>
      </c>
      <c r="B4" s="27" t="s">
        <v>5</v>
      </c>
      <c r="C4" s="27" t="s">
        <v>53</v>
      </c>
    </row>
    <row r="5" customFormat="false" ht="15" hidden="false" customHeight="false" outlineLevel="0" collapsed="false">
      <c r="A5" s="20" t="s">
        <v>9</v>
      </c>
      <c r="B5" s="20" t="s">
        <v>12</v>
      </c>
      <c r="C5" s="20" t="s">
        <v>9</v>
      </c>
    </row>
    <row r="6" customFormat="false" ht="15" hidden="false" customHeight="false" outlineLevel="0" collapsed="false">
      <c r="A6" s="20" t="s">
        <v>29</v>
      </c>
      <c r="B6" s="20" t="s">
        <v>37</v>
      </c>
      <c r="C6" s="20" t="s">
        <v>9</v>
      </c>
    </row>
    <row r="7" customFormat="false" ht="15" hidden="false" customHeight="false" outlineLevel="0" collapsed="false">
      <c r="A7" s="20" t="s">
        <v>30</v>
      </c>
      <c r="B7" s="20" t="s">
        <v>10</v>
      </c>
      <c r="C7" s="20" t="s">
        <v>9</v>
      </c>
    </row>
    <row r="8" customFormat="false" ht="15" hidden="false" customHeight="false" outlineLevel="0" collapsed="false">
      <c r="A8" s="20" t="s">
        <v>31</v>
      </c>
      <c r="B8" s="20" t="s">
        <v>38</v>
      </c>
      <c r="C8" s="20" t="s">
        <v>9</v>
      </c>
    </row>
    <row r="9" customFormat="false" ht="15" hidden="false" customHeight="false" outlineLevel="0" collapsed="false">
      <c r="A9" s="20" t="s">
        <v>32</v>
      </c>
      <c r="B9" s="20" t="s">
        <v>39</v>
      </c>
      <c r="C9" s="20" t="s">
        <v>29</v>
      </c>
    </row>
    <row r="10" customFormat="false" ht="15" hidden="false" customHeight="false" outlineLevel="0" collapsed="false">
      <c r="A10" s="20" t="s">
        <v>33</v>
      </c>
      <c r="B10" s="20" t="s">
        <v>40</v>
      </c>
      <c r="C10" s="20" t="s">
        <v>29</v>
      </c>
    </row>
    <row r="11" customFormat="false" ht="15" hidden="false" customHeight="false" outlineLevel="0" collapsed="false">
      <c r="A11" s="20" t="s">
        <v>14</v>
      </c>
      <c r="B11" s="20" t="s">
        <v>41</v>
      </c>
      <c r="C11" s="20" t="s">
        <v>29</v>
      </c>
    </row>
    <row r="12" customFormat="false" ht="15" hidden="false" customHeight="false" outlineLevel="0" collapsed="false">
      <c r="B12" s="20" t="s">
        <v>42</v>
      </c>
      <c r="C12" s="20" t="s">
        <v>30</v>
      </c>
    </row>
    <row r="13" customFormat="false" ht="15" hidden="false" customHeight="false" outlineLevel="0" collapsed="false">
      <c r="B13" s="20" t="s">
        <v>43</v>
      </c>
      <c r="C13" s="20" t="s">
        <v>30</v>
      </c>
    </row>
    <row r="14" customFormat="false" ht="15" hidden="false" customHeight="false" outlineLevel="0" collapsed="false">
      <c r="B14" s="20" t="s">
        <v>44</v>
      </c>
      <c r="C14" s="20" t="s">
        <v>31</v>
      </c>
    </row>
    <row r="15" customFormat="false" ht="15" hidden="false" customHeight="false" outlineLevel="0" collapsed="false">
      <c r="B15" s="20" t="s">
        <v>45</v>
      </c>
      <c r="C15" s="20" t="s">
        <v>31</v>
      </c>
    </row>
    <row r="16" customFormat="false" ht="15" hidden="false" customHeight="false" outlineLevel="0" collapsed="false">
      <c r="B16" s="20" t="s">
        <v>46</v>
      </c>
      <c r="C16" s="20" t="s">
        <v>31</v>
      </c>
    </row>
    <row r="17" customFormat="false" ht="15" hidden="false" customHeight="false" outlineLevel="0" collapsed="false">
      <c r="B17" s="20" t="s">
        <v>47</v>
      </c>
      <c r="C17" s="20" t="s">
        <v>32</v>
      </c>
    </row>
    <row r="18" customFormat="false" ht="15" hidden="false" customHeight="false" outlineLevel="0" collapsed="false">
      <c r="B18" s="20" t="s">
        <v>48</v>
      </c>
      <c r="C18" s="20" t="s">
        <v>32</v>
      </c>
    </row>
    <row r="19" customFormat="false" ht="15" hidden="false" customHeight="false" outlineLevel="0" collapsed="false">
      <c r="B19" s="20" t="s">
        <v>49</v>
      </c>
      <c r="C19" s="20" t="s">
        <v>33</v>
      </c>
    </row>
    <row r="20" customFormat="false" ht="15" hidden="false" customHeight="false" outlineLevel="0" collapsed="false">
      <c r="B20" s="20" t="s">
        <v>50</v>
      </c>
      <c r="C20" s="20" t="s">
        <v>33</v>
      </c>
    </row>
    <row r="21" customFormat="false" ht="15" hidden="false" customHeight="false" outlineLevel="0" collapsed="false">
      <c r="B21" s="20" t="s">
        <v>15</v>
      </c>
      <c r="C21" s="20" t="s">
        <v>14</v>
      </c>
    </row>
    <row r="22" customFormat="false" ht="15" hidden="false" customHeight="false" outlineLevel="0" collapsed="false">
      <c r="B22" s="20" t="s">
        <v>17</v>
      </c>
      <c r="C22" s="20" t="s">
        <v>9</v>
      </c>
    </row>
  </sheetData>
  <mergeCells count="2">
    <mergeCell ref="A1:F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2026-08-10T23:18:14Z</dcterms:created>
  <dc:creator>openpyxl</dc:creator>
  <dc:description/>
  <dc:language>en-US</dc:language>
  <cp:lastModifiedBy/>
  <dcterms:modified xsi:type="dcterms:W3CDTF">2026-08-10T16:18:17Z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